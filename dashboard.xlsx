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595959"/>
      <sz val="9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 style="medium">
        <color rgb="001F4E78"/>
      </left>
      <top style="medium">
        <color rgb="001F4E78"/>
      </top>
    </border>
    <border>
      <right style="medium">
        <color rgb="001F4E78"/>
      </right>
      <top style="medium">
        <color rgb="001F4E78"/>
      </top>
    </border>
    <border>
      <left style="medium">
        <color rgb="001F4E78"/>
      </left>
    </border>
    <border>
      <right style="medium">
        <color rgb="001F4E78"/>
      </right>
    </border>
    <border>
      <left style="medium">
        <color rgb="001F4E78"/>
      </left>
      <bottom style="medium">
        <color rgb="001F4E78"/>
      </bottom>
    </border>
    <border>
      <right style="medium">
        <color rgb="001F4E78"/>
      </right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3" borderId="4" pivotButton="0" quotePrefix="0" xfId="0"/>
    <xf numFmtId="0" fontId="3" fillId="3" borderId="5" applyAlignment="1" pivotButton="0" quotePrefix="0" xfId="0">
      <alignment horizontal="center" vertical="center" wrapText="1"/>
    </xf>
    <xf numFmtId="0" fontId="0" fillId="3" borderId="6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right" vertical="center"/>
    </xf>
    <xf numFmtId="3" fontId="8" fillId="0" borderId="7" applyAlignment="1" pivotButton="0" quotePrefix="0" xfId="0">
      <alignment horizontal="right" vertical="center"/>
    </xf>
    <xf numFmtId="0" fontId="8" fillId="0" borderId="7" applyAlignment="1" pivotButton="0" quotePrefix="0" xfId="0">
      <alignment horizontal="left" vertical="center"/>
    </xf>
    <xf numFmtId="165" fontId="8" fillId="0" borderId="7" applyAlignment="1" pivotButton="0" quotePrefix="0" xfId="0">
      <alignment horizontal="right" vertical="center"/>
    </xf>
    <xf numFmtId="0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right" vertical="center"/>
    </xf>
    <xf numFmtId="3" fontId="8" fillId="4" borderId="7" applyAlignment="1" pivotButton="0" quotePrefix="0" xfId="0">
      <alignment horizontal="right" vertical="center"/>
    </xf>
    <xf numFmtId="0" fontId="8" fillId="4" borderId="7" applyAlignment="1" pivotButton="0" quotePrefix="0" xfId="0">
      <alignment horizontal="left" vertical="center"/>
    </xf>
    <xf numFmtId="165" fontId="8" fillId="4" borderId="7" applyAlignment="1" pivotButton="0" quotePrefix="0" xfId="0">
      <alignment horizontal="right" vertical="center"/>
    </xf>
    <xf numFmtId="0" fontId="6" fillId="0" borderId="8" applyAlignment="1" pivotButton="0" quotePrefix="0" xfId="0">
      <alignment horizontal="center" vertical="center" wrapText="1"/>
    </xf>
    <xf numFmtId="3" fontId="6" fillId="0" borderId="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6" fillId="0" borderId="8" pivotButton="0" quotePrefix="0" xfId="0"/>
    <xf numFmtId="164" fontId="6" fillId="0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715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715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5715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715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4" customWidth="1" min="5" max="5"/>
    <col width="25" customWidth="1" min="6" max="6"/>
    <col width="18" customWidth="1" min="7" max="7"/>
    <col width="12" customWidth="1" min="8" max="8"/>
    <col width="4" customWidth="1" min="9" max="9"/>
    <col width="10" customWidth="1" min="10" max="10"/>
    <col width="18" customWidth="1" min="11" max="11"/>
    <col width="12" customWidth="1" min="12" max="12"/>
    <col width="4" customWidth="1" min="13" max="13"/>
    <col width="16" customWidth="1" min="14" max="14"/>
    <col width="12" customWidth="1" min="15" max="15"/>
    <col width="12" customWidth="1" min="16" max="16"/>
  </cols>
  <sheetData>
    <row r="1" ht="25" customHeight="1">
      <c r="A1" s="1" t="inlineStr">
        <is>
          <t>OLIST E-COMMERCE EXECUTIVE PERFORMANCE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3" t="inlineStr">
        <is>
          <t>Analysis Period: September 2017 – August 2018 (12 Months of Sales Data)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5" ht="15" customHeight="1">
      <c r="A5" s="4" t="inlineStr">
        <is>
          <t>TOTAL REVENUE</t>
        </is>
      </c>
      <c r="B5" s="5" t="n"/>
      <c r="D5" s="4" t="inlineStr">
        <is>
          <t>TOTAL ORDERS</t>
        </is>
      </c>
      <c r="E5" s="5" t="n"/>
      <c r="G5" s="4" t="inlineStr">
        <is>
          <t>AVG ORDER VALUE (AOV)</t>
        </is>
      </c>
      <c r="H5" s="5" t="n"/>
      <c r="J5" s="4" t="inlineStr">
        <is>
          <t>TOP PRODUCT CATEGORY</t>
        </is>
      </c>
      <c r="K5" s="5" t="n"/>
      <c r="M5" s="4" t="inlineStr">
        <is>
          <t>PEAK SALES MONTH</t>
        </is>
      </c>
      <c r="N5" s="5" t="n"/>
    </row>
    <row r="6" ht="25" customHeight="1">
      <c r="A6" s="6" t="inlineStr">
        <is>
          <t>R$ 10,368,678.87</t>
        </is>
      </c>
      <c r="B6" s="7" t="n"/>
      <c r="D6" s="6" t="inlineStr">
        <is>
          <t>75,343</t>
        </is>
      </c>
      <c r="E6" s="7" t="n"/>
      <c r="G6" s="6" t="inlineStr">
        <is>
          <t>R$ 137.62</t>
        </is>
      </c>
      <c r="H6" s="7" t="n"/>
      <c r="J6" s="6" t="inlineStr">
        <is>
          <t>Health Beauty</t>
        </is>
      </c>
      <c r="K6" s="7" t="n"/>
      <c r="M6" s="6" t="inlineStr">
        <is>
          <t>2017-11</t>
        </is>
      </c>
      <c r="N6" s="7" t="n"/>
    </row>
    <row r="7" ht="15" customHeight="1">
      <c r="A7" s="8" t="inlineStr">
        <is>
          <t>Gross product sales</t>
        </is>
      </c>
      <c r="B7" s="9" t="n"/>
      <c r="D7" s="8" t="inlineStr">
        <is>
          <t>Completed orders count</t>
        </is>
      </c>
      <c r="E7" s="9" t="n"/>
      <c r="G7" s="8" t="inlineStr">
        <is>
          <t>Revenue per order</t>
        </is>
      </c>
      <c r="H7" s="9" t="n"/>
      <c r="J7" s="8" t="inlineStr">
        <is>
          <t>R$ 1,003,687.59 sales</t>
        </is>
      </c>
      <c r="K7" s="9" t="n"/>
      <c r="M7" s="8" t="inlineStr">
        <is>
          <t>R$ 1,003,862.14 revenue</t>
        </is>
      </c>
      <c r="N7" s="9" t="n"/>
    </row>
    <row r="9" ht="22" customHeight="1">
      <c r="A9" s="10" t="inlineStr">
        <is>
          <t>PERFORMANCE ANALYSIS TABLES</t>
        </is>
      </c>
    </row>
    <row r="11" ht="20" customHeight="1">
      <c r="A11" s="11" t="inlineStr">
        <is>
          <t>Month</t>
        </is>
      </c>
      <c r="B11" s="11" t="inlineStr">
        <is>
          <t>Revenue</t>
        </is>
      </c>
      <c r="C11" s="11" t="inlineStr">
        <is>
          <t>Orders</t>
        </is>
      </c>
      <c r="D11" s="11" t="inlineStr">
        <is>
          <t>AOV</t>
        </is>
      </c>
      <c r="F11" s="11" t="inlineStr">
        <is>
          <t>Top Category</t>
        </is>
      </c>
      <c r="G11" s="11" t="inlineStr">
        <is>
          <t>Revenue</t>
        </is>
      </c>
      <c r="H11" s="11" t="inlineStr">
        <is>
          <t>% Share</t>
        </is>
      </c>
      <c r="J11" s="11" t="inlineStr">
        <is>
          <t>State</t>
        </is>
      </c>
      <c r="K11" s="11" t="inlineStr">
        <is>
          <t>Revenue</t>
        </is>
      </c>
      <c r="L11" s="11" t="inlineStr">
        <is>
          <t>% Share</t>
        </is>
      </c>
      <c r="N11" s="11" t="inlineStr">
        <is>
          <t>Review Score</t>
        </is>
      </c>
      <c r="O11" s="11" t="inlineStr">
        <is>
          <t>Orders</t>
        </is>
      </c>
      <c r="P11" s="11" t="inlineStr">
        <is>
          <t>% Share</t>
        </is>
      </c>
    </row>
    <row r="12" ht="18" customHeight="1">
      <c r="A12" s="12" t="inlineStr">
        <is>
          <t>2017-09</t>
        </is>
      </c>
      <c r="B12" s="13" t="n">
        <v>621415.91</v>
      </c>
      <c r="C12" s="14" t="n">
        <v>4227</v>
      </c>
      <c r="D12" s="13" t="n">
        <v>147.0110977052283</v>
      </c>
      <c r="F12" s="15" t="inlineStr">
        <is>
          <t>Health Beauty</t>
        </is>
      </c>
      <c r="G12" s="13" t="n">
        <v>1003687.59</v>
      </c>
      <c r="H12" s="16">
        <f>G12/10368678.870000001</f>
        <v/>
      </c>
      <c r="J12" s="12" t="inlineStr">
        <is>
          <t>SP</t>
        </is>
      </c>
      <c r="K12" s="13" t="n">
        <v>4039060.25</v>
      </c>
      <c r="L12" s="16">
        <f>K12/10368678.870000001</f>
        <v/>
      </c>
      <c r="N12" s="12" t="inlineStr">
        <is>
          <t>1 Stars</t>
        </is>
      </c>
      <c r="O12" s="14" t="n">
        <v>8371</v>
      </c>
      <c r="P12" s="16">
        <f>O12/75343</f>
        <v/>
      </c>
    </row>
    <row r="13" ht="18" customHeight="1">
      <c r="A13" s="17" t="inlineStr">
        <is>
          <t>2017-10</t>
        </is>
      </c>
      <c r="B13" s="18" t="n">
        <v>660179.62</v>
      </c>
      <c r="C13" s="19" t="n">
        <v>4547</v>
      </c>
      <c r="D13" s="18" t="n">
        <v>145.1901517484056</v>
      </c>
      <c r="F13" s="20" t="inlineStr">
        <is>
          <t>Watches Gifts</t>
        </is>
      </c>
      <c r="G13" s="18" t="n">
        <v>988540.53</v>
      </c>
      <c r="H13" s="21">
        <f>G13/10368678.870000001</f>
        <v/>
      </c>
      <c r="J13" s="17" t="inlineStr">
        <is>
          <t>RJ</t>
        </is>
      </c>
      <c r="K13" s="18" t="n">
        <v>1360085.21</v>
      </c>
      <c r="L13" s="21">
        <f>K13/10368678.870000001</f>
        <v/>
      </c>
      <c r="N13" s="17" t="inlineStr">
        <is>
          <t>2 Stars</t>
        </is>
      </c>
      <c r="O13" s="19" t="n">
        <v>2370</v>
      </c>
      <c r="P13" s="21">
        <f>O13/75343</f>
        <v/>
      </c>
    </row>
    <row r="14" ht="18" customHeight="1">
      <c r="A14" s="12" t="inlineStr">
        <is>
          <t>2017-11</t>
        </is>
      </c>
      <c r="B14" s="13" t="n">
        <v>1003862.14</v>
      </c>
      <c r="C14" s="14" t="n">
        <v>7421</v>
      </c>
      <c r="D14" s="13" t="n">
        <v>135.2731626465436</v>
      </c>
      <c r="F14" s="15" t="inlineStr">
        <is>
          <t>Bed Bath Table</t>
        </is>
      </c>
      <c r="G14" s="13" t="n">
        <v>775863.83</v>
      </c>
      <c r="H14" s="16">
        <f>G14/10368678.870000001</f>
        <v/>
      </c>
      <c r="J14" s="12" t="inlineStr">
        <is>
          <t>MG</t>
        </is>
      </c>
      <c r="K14" s="13" t="n">
        <v>1231688.88</v>
      </c>
      <c r="L14" s="16">
        <f>K14/10368678.870000001</f>
        <v/>
      </c>
      <c r="N14" s="12" t="inlineStr">
        <is>
          <t>3 Stars</t>
        </is>
      </c>
      <c r="O14" s="14" t="n">
        <v>6127</v>
      </c>
      <c r="P14" s="16">
        <f>O14/75343</f>
        <v/>
      </c>
    </row>
    <row r="15" ht="18" customHeight="1">
      <c r="A15" s="17" t="inlineStr">
        <is>
          <t>2017-12</t>
        </is>
      </c>
      <c r="B15" s="18" t="n">
        <v>742183.79</v>
      </c>
      <c r="C15" s="19" t="n">
        <v>5618</v>
      </c>
      <c r="D15" s="18" t="n">
        <v>132.1081861872553</v>
      </c>
      <c r="F15" s="20" t="inlineStr">
        <is>
          <t>Sports Leisure</t>
        </is>
      </c>
      <c r="G15" s="18" t="n">
        <v>753132.02</v>
      </c>
      <c r="H15" s="21">
        <f>G15/10368678.870000001</f>
        <v/>
      </c>
      <c r="J15" s="17" t="inlineStr">
        <is>
          <t>RS</t>
        </is>
      </c>
      <c r="K15" s="18" t="n">
        <v>558295.63</v>
      </c>
      <c r="L15" s="21">
        <f>K15/10368678.870000001</f>
        <v/>
      </c>
      <c r="N15" s="17" t="inlineStr">
        <is>
          <t>4 Stars</t>
        </is>
      </c>
      <c r="O15" s="19" t="n">
        <v>15047</v>
      </c>
      <c r="P15" s="21">
        <f>O15/75343</f>
        <v/>
      </c>
    </row>
    <row r="16" ht="18" customHeight="1">
      <c r="A16" s="12" t="inlineStr">
        <is>
          <t>2018-01</t>
        </is>
      </c>
      <c r="B16" s="13" t="n">
        <v>945456.29</v>
      </c>
      <c r="C16" s="14" t="n">
        <v>7187</v>
      </c>
      <c r="D16" s="13" t="n">
        <v>131.5508960623348</v>
      </c>
      <c r="F16" s="15" t="inlineStr">
        <is>
          <t>Computers Accessories</t>
        </is>
      </c>
      <c r="G16" s="13" t="n">
        <v>683284.02</v>
      </c>
      <c r="H16" s="16">
        <f>G16/10368678.870000001</f>
        <v/>
      </c>
      <c r="J16" s="12" t="inlineStr">
        <is>
          <t>PR</t>
        </is>
      </c>
      <c r="K16" s="13" t="n">
        <v>513418.87</v>
      </c>
      <c r="L16" s="16">
        <f>K16/10368678.870000001</f>
        <v/>
      </c>
      <c r="N16" s="12" t="inlineStr">
        <is>
          <t>5 Stars</t>
        </is>
      </c>
      <c r="O16" s="14" t="n">
        <v>43428</v>
      </c>
      <c r="P16" s="16">
        <f>O16/75343</f>
        <v/>
      </c>
    </row>
    <row r="17" ht="18" customHeight="1">
      <c r="A17" s="17" t="inlineStr">
        <is>
          <t>2018-02</t>
        </is>
      </c>
      <c r="B17" s="18" t="n">
        <v>837895.4300000001</v>
      </c>
      <c r="C17" s="19" t="n">
        <v>6624</v>
      </c>
      <c r="D17" s="18" t="n">
        <v>126.4938753019324</v>
      </c>
      <c r="F17" s="20" t="inlineStr">
        <is>
          <t>Furniture Decor</t>
        </is>
      </c>
      <c r="G17" s="18" t="n">
        <v>541283.13</v>
      </c>
      <c r="H17" s="21">
        <f>G17/10368678.870000001</f>
        <v/>
      </c>
      <c r="J17" s="17" t="inlineStr">
        <is>
          <t>SC</t>
        </is>
      </c>
      <c r="K17" s="18" t="n">
        <v>395163.08</v>
      </c>
      <c r="L17" s="21">
        <f>K17/10368678.870000001</f>
        <v/>
      </c>
      <c r="N17" s="22" t="inlineStr">
        <is>
          <t>Total</t>
        </is>
      </c>
      <c r="O17" s="23">
        <f>SUM(O12:O16)</f>
        <v/>
      </c>
      <c r="P17" s="24">
        <f>SUM(P12:P16)</f>
        <v/>
      </c>
    </row>
    <row r="18" ht="18" customHeight="1">
      <c r="A18" s="12" t="inlineStr">
        <is>
          <t>2018-03</t>
        </is>
      </c>
      <c r="B18" s="13" t="n">
        <v>981051.0600000001</v>
      </c>
      <c r="C18" s="14" t="n">
        <v>7168</v>
      </c>
      <c r="D18" s="13" t="n">
        <v>136.8653822544643</v>
      </c>
      <c r="F18" s="15" t="inlineStr">
        <is>
          <t>Housewares</t>
        </is>
      </c>
      <c r="G18" s="13" t="n">
        <v>494406.12</v>
      </c>
      <c r="H18" s="16">
        <f>G18/10368678.870000001</f>
        <v/>
      </c>
      <c r="J18" s="12" t="inlineStr">
        <is>
          <t>BA</t>
        </is>
      </c>
      <c r="K18" s="13" t="n">
        <v>378349.99</v>
      </c>
      <c r="L18" s="16">
        <f>K18/10368678.870000001</f>
        <v/>
      </c>
    </row>
    <row r="19" ht="18" customHeight="1">
      <c r="A19" s="17" t="inlineStr">
        <is>
          <t>2018-04</t>
        </is>
      </c>
      <c r="B19" s="18" t="n">
        <v>993592.98</v>
      </c>
      <c r="C19" s="19" t="n">
        <v>6919</v>
      </c>
      <c r="D19" s="18" t="n">
        <v>143.6035525364937</v>
      </c>
      <c r="F19" s="20" t="inlineStr">
        <is>
          <t>Auto</t>
        </is>
      </c>
      <c r="G19" s="18" t="n">
        <v>456899.42</v>
      </c>
      <c r="H19" s="21">
        <f>G19/10368678.870000001</f>
        <v/>
      </c>
      <c r="J19" s="17" t="inlineStr">
        <is>
          <t>DF</t>
        </is>
      </c>
      <c r="K19" s="18" t="n">
        <v>236500.73</v>
      </c>
      <c r="L19" s="21">
        <f>K19/10368678.870000001</f>
        <v/>
      </c>
    </row>
    <row r="20" ht="18" customHeight="1">
      <c r="A20" s="12" t="inlineStr">
        <is>
          <t>2018-05</t>
        </is>
      </c>
      <c r="B20" s="13" t="n">
        <v>992871.75</v>
      </c>
      <c r="C20" s="14" t="n">
        <v>6833</v>
      </c>
      <c r="D20" s="13" t="n">
        <v>145.3053929459974</v>
      </c>
      <c r="F20" s="15" t="inlineStr">
        <is>
          <t>Cool Stuff</t>
        </is>
      </c>
      <c r="G20" s="13" t="n">
        <v>407776.77</v>
      </c>
      <c r="H20" s="16">
        <f>G20/10368678.870000001</f>
        <v/>
      </c>
      <c r="J20" s="12" t="inlineStr">
        <is>
          <t>GO</t>
        </is>
      </c>
      <c r="K20" s="13" t="n">
        <v>217772.22</v>
      </c>
      <c r="L20" s="16">
        <f>K20/10368678.870000001</f>
        <v/>
      </c>
    </row>
    <row r="21" ht="18" customHeight="1">
      <c r="A21" s="17" t="inlineStr">
        <is>
          <t>2018-06</t>
        </is>
      </c>
      <c r="B21" s="18" t="n">
        <v>863265.53</v>
      </c>
      <c r="C21" s="19" t="n">
        <v>6145</v>
      </c>
      <c r="D21" s="18" t="n">
        <v>140.4825923515053</v>
      </c>
      <c r="F21" s="20" t="inlineStr">
        <is>
          <t>Toys</t>
        </is>
      </c>
      <c r="G21" s="18" t="n">
        <v>355999.03</v>
      </c>
      <c r="H21" s="21">
        <f>G21/10368678.870000001</f>
        <v/>
      </c>
      <c r="J21" s="17" t="inlineStr">
        <is>
          <t>ES</t>
        </is>
      </c>
      <c r="K21" s="18" t="n">
        <v>212350.51</v>
      </c>
      <c r="L21" s="21">
        <f>K21/10368678.870000001</f>
        <v/>
      </c>
    </row>
    <row r="22" ht="18" customHeight="1">
      <c r="A22" s="12" t="inlineStr">
        <is>
          <t>2018-07</t>
        </is>
      </c>
      <c r="B22" s="13" t="n">
        <v>878044.27</v>
      </c>
      <c r="C22" s="14" t="n">
        <v>6233</v>
      </c>
      <c r="D22" s="13" t="n">
        <v>140.8702502807637</v>
      </c>
      <c r="F22" s="25" t="inlineStr">
        <is>
          <t>Top 10 Total</t>
        </is>
      </c>
      <c r="G22" s="26">
        <f>SUM(G12:G21)</f>
        <v/>
      </c>
      <c r="H22" s="24">
        <f>SUM(H12:H21)</f>
        <v/>
      </c>
      <c r="J22" s="22" t="inlineStr">
        <is>
          <t>Top 10 Total</t>
        </is>
      </c>
      <c r="K22" s="26">
        <f>SUM(K12:K21)</f>
        <v/>
      </c>
      <c r="L22" s="24">
        <f>SUM(L12:L21)</f>
        <v/>
      </c>
    </row>
    <row r="23" ht="18" customHeight="1">
      <c r="A23" s="17" t="inlineStr">
        <is>
          <t>2018-08</t>
        </is>
      </c>
      <c r="B23" s="18" t="n">
        <v>848860.1</v>
      </c>
      <c r="C23" s="19" t="n">
        <v>6421</v>
      </c>
      <c r="D23" s="18" t="n">
        <v>132.2006073820277</v>
      </c>
    </row>
    <row r="24" ht="18" customHeight="1">
      <c r="A24" s="22" t="inlineStr">
        <is>
          <t>Total/Average</t>
        </is>
      </c>
      <c r="B24" s="26">
        <f>SUM(B12:B23)</f>
        <v/>
      </c>
      <c r="C24" s="23">
        <f>SUM(C12:C23)</f>
        <v/>
      </c>
      <c r="D24" s="26">
        <f>B24/C24</f>
        <v/>
      </c>
    </row>
    <row r="25" ht="18" customHeight="1"/>
    <row r="26" ht="22" customHeight="1">
      <c r="A26" s="10" t="inlineStr">
        <is>
          <t>PERFORMANCE VISUALISATIONS &amp; CHARTS</t>
        </is>
      </c>
    </row>
  </sheetData>
  <mergeCells count="18">
    <mergeCell ref="D6:E6"/>
    <mergeCell ref="M7:N7"/>
    <mergeCell ref="D7:E7"/>
    <mergeCell ref="A7:B7"/>
    <mergeCell ref="G7:H7"/>
    <mergeCell ref="J5:K5"/>
    <mergeCell ref="A1:P1"/>
    <mergeCell ref="J6:K6"/>
    <mergeCell ref="M6:N6"/>
    <mergeCell ref="D5:E5"/>
    <mergeCell ref="A5:B5"/>
    <mergeCell ref="G5:H5"/>
    <mergeCell ref="J7:K7"/>
    <mergeCell ref="M5:N5"/>
    <mergeCell ref="A3:P3"/>
    <mergeCell ref="G6:H6"/>
    <mergeCell ref="A6:B6"/>
    <mergeCell ref="A2:P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2026-06-23T11:33:36Z</dcterms:created>
  <dcterms:modified xsi:type="dcterms:W3CDTF">2026-06-23T11:33:37Z</dcterms:modified>
</cp:coreProperties>
</file>